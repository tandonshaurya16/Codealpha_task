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ndo\Downloads\"/>
    </mc:Choice>
  </mc:AlternateContent>
  <xr:revisionPtr revIDLastSave="0" documentId="13_ncr:1_{825A464B-94D9-4FCB-84AC-0F696FEB1D8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📊 Portfolio Summary" sheetId="1" r:id="rId1"/>
    <sheet name="🇮🇳 Stocks" sheetId="2" r:id="rId2"/>
    <sheet name=" ETFs" sheetId="3" r:id="rId3"/>
    <sheet name="Crypto" sheetId="4" r:id="rId4"/>
    <sheet name=" Risk &amp; Retur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5" l="1"/>
  <c r="C13" i="5"/>
  <c r="E12" i="5"/>
  <c r="E11" i="5"/>
  <c r="E10" i="5"/>
  <c r="E9" i="5"/>
  <c r="E8" i="5"/>
  <c r="E7" i="5"/>
  <c r="E6" i="5"/>
  <c r="E5" i="5"/>
  <c r="E4" i="5"/>
  <c r="E3" i="5"/>
  <c r="E13" i="5" s="1"/>
  <c r="F5" i="4"/>
  <c r="E5" i="4"/>
  <c r="F6" i="3"/>
  <c r="E6" i="3"/>
  <c r="H5" i="3"/>
  <c r="H4" i="3"/>
  <c r="H3" i="3"/>
  <c r="F7" i="2"/>
  <c r="H6" i="2"/>
  <c r="H5" i="2"/>
  <c r="H4" i="2"/>
  <c r="H3" i="2"/>
  <c r="H7" i="2" l="1"/>
</calcChain>
</file>

<file path=xl/sharedStrings.xml><?xml version="1.0" encoding="utf-8"?>
<sst xmlns="http://schemas.openxmlformats.org/spreadsheetml/2006/main" count="125" uniqueCount="93">
  <si>
    <t>ASSET CLASS OVERVIEW</t>
  </si>
  <si>
    <t>Asset Class</t>
  </si>
  <si>
    <t>Allocation %</t>
  </si>
  <si>
    <t>Amount (₹)</t>
  </si>
  <si>
    <t>Risk Level</t>
  </si>
  <si>
    <t>Expected Return</t>
  </si>
  <si>
    <t>Medium-High</t>
  </si>
  <si>
    <t>12–18% p.a.</t>
  </si>
  <si>
    <t>Low-Medium</t>
  </si>
  <si>
    <t>10–14% p.a.</t>
  </si>
  <si>
    <t>Very High</t>
  </si>
  <si>
    <t>Variable</t>
  </si>
  <si>
    <t>Very Low</t>
  </si>
  <si>
    <t>6–7% p.a.</t>
  </si>
  <si>
    <t>TOTAL</t>
  </si>
  <si>
    <t>Indian Stocks</t>
  </si>
  <si>
    <t>ETFs</t>
  </si>
  <si>
    <t>Crypto</t>
  </si>
  <si>
    <t>Cash/Liquid</t>
  </si>
  <si>
    <t>INDIAN STOCKS  ·  Allocation: ₹55,000  (55%)</t>
  </si>
  <si>
    <t>Stock</t>
  </si>
  <si>
    <t>Ticker</t>
  </si>
  <si>
    <t>Sector</t>
  </si>
  <si>
    <t>Approx Price (₹)</t>
  </si>
  <si>
    <t>Units</t>
  </si>
  <si>
    <t>Rationale</t>
  </si>
  <si>
    <t>Reliance Industries</t>
  </si>
  <si>
    <t>RELIANCE</t>
  </si>
  <si>
    <t>Diversified / Energy</t>
  </si>
  <si>
    <t>Largest Indian conglomerate; diversified across telecom, retail, O&amp;G, and green energy. Defensive and growth combined.</t>
  </si>
  <si>
    <t>Infosys</t>
  </si>
  <si>
    <t>INFY</t>
  </si>
  <si>
    <t>IT Services</t>
  </si>
  <si>
    <t>Top-tier IT exporter; benefits from USD revenue, strong dividend history, digital transformation tailwinds.</t>
  </si>
  <si>
    <t>HDFC Bank</t>
  </si>
  <si>
    <t>HDFCBANK</t>
  </si>
  <si>
    <t>Banking / BFSI</t>
  </si>
  <si>
    <t>India's largest private bank; consistent ROE &gt;15%, low NPA, leveraged to India's credit growth story.</t>
  </si>
  <si>
    <t>Tata Motors</t>
  </si>
  <si>
    <t>TATAMOTORS</t>
  </si>
  <si>
    <t>Auto / EV</t>
  </si>
  <si>
    <t>EV transition play via Jaguar Land Rover + domestic EVs. High beta, high upside as global EV adoption rises.</t>
  </si>
  <si>
    <t>TOTAL STOCKS</t>
  </si>
  <si>
    <t>ETFs  ·  Allocation: ₹25,000  (25%)</t>
  </si>
  <si>
    <t>ETF Name</t>
  </si>
  <si>
    <t>Category</t>
  </si>
  <si>
    <t>Approx NAV (₹)</t>
  </si>
  <si>
    <t>Nippon India Nifty 50 BeES</t>
  </si>
  <si>
    <t>NIFTYBEES</t>
  </si>
  <si>
    <t>Large Cap Index</t>
  </si>
  <si>
    <t>Mirae Asset NYSE FANG+ ETF</t>
  </si>
  <si>
    <t>MAFANG</t>
  </si>
  <si>
    <t>Global Tech</t>
  </si>
  <si>
    <t>Kotak Gold ETF</t>
  </si>
  <si>
    <t>KOTAKGOLD</t>
  </si>
  <si>
    <t>Commodities</t>
  </si>
  <si>
    <t>TOTAL ETFs</t>
  </si>
  <si>
    <t>Symbol</t>
  </si>
  <si>
    <t>Approx Price ($)</t>
  </si>
  <si>
    <t>Units (approx)</t>
  </si>
  <si>
    <t>Bitcoin</t>
  </si>
  <si>
    <t>BTC</t>
  </si>
  <si>
    <t>Store of Value / Digital Gold</t>
  </si>
  <si>
    <t>See note</t>
  </si>
  <si>
    <t>Ethereum</t>
  </si>
  <si>
    <t>ETH</t>
  </si>
  <si>
    <t>Smart Contract Platform</t>
  </si>
  <si>
    <t>TOTAL CRYPTO</t>
  </si>
  <si>
    <t>RISK &amp; RETURN ANALYSIS</t>
  </si>
  <si>
    <t>Holding</t>
  </si>
  <si>
    <t>Projected Return</t>
  </si>
  <si>
    <t>1-Yr Est. Gain (₹)</t>
  </si>
  <si>
    <t>Liquidity</t>
  </si>
  <si>
    <t>Medium</t>
  </si>
  <si>
    <t>T+1 (NSE/BSE)</t>
  </si>
  <si>
    <t>Low-Med</t>
  </si>
  <si>
    <t>High</t>
  </si>
  <si>
    <t>Nifty 50 BeES</t>
  </si>
  <si>
    <t>FANG+ ETF</t>
  </si>
  <si>
    <t>Low</t>
  </si>
  <si>
    <t>Bitcoin (BTC)</t>
  </si>
  <si>
    <t>Instant (Exchange)</t>
  </si>
  <si>
    <t>Ethereum (ETH)</t>
  </si>
  <si>
    <t>Cash / Liquid Fund</t>
  </si>
  <si>
    <t>T+1 to T+3</t>
  </si>
  <si>
    <t>PORTFOLIO TOTAL</t>
  </si>
  <si>
    <t xml:space="preserve"> Holdings</t>
  </si>
  <si>
    <t xml:space="preserve"> ETFs</t>
  </si>
  <si>
    <t xml:space="preserve"> Indian Stocks</t>
  </si>
  <si>
    <t xml:space="preserve"> Cash / Liquid</t>
  </si>
  <si>
    <t>HYPOTHETICAL INVESTMENT PORTFOLIO  ·  ₹1,00,000</t>
  </si>
  <si>
    <t xml:space="preserve">CRYPTO  ·  Allocation: ₹10,000  (10%)   </t>
  </si>
  <si>
    <t xml:space="preserve"> Crypto is highly volatile. ₹10,000 (10%) is the MAXIMUM recommended for a beginner portfolio. Never invest more than you can afford to lose entirely. Crypto does NOT have SEBI protection. Prices shown are approximate as of mid-2025.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</si>
</sst>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6" formatCode="\₹#,##0"/>
    <numFmt numFmtId="167" formatCode="\$#,##0"/>
    <numFmt numFmtId="168" formatCode="&quot;₹&quot;#,##0"/>
  </numFmts>
  <fonts count="2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1A2E"/>
      <name val="Arial"/>
      <charset val="1"/>
    </font>
    <font>
      <sz val="10"/>
      <color rgb="FF0000FF"/>
      <name val="Arial"/>
      <charset val="1"/>
    </font>
    <font>
      <sz val="10"/>
      <color rgb="FF1A1A2E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sz val="10"/>
      <color rgb="FF0000FF"/>
      <name val="Arial"/>
    </font>
    <font>
      <sz val="10"/>
      <color rgb="FF1A1A2E"/>
      <name val="Arial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sz val="20"/>
      <color theme="1"/>
      <name val="Calibri"/>
      <family val="2"/>
      <charset val="1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4"/>
      <color rgb="FF1A1A2E"/>
      <name val="Arial"/>
      <family val="2"/>
    </font>
    <font>
      <b/>
      <sz val="14"/>
      <color rgb="FF4472C4"/>
      <name val="Arial"/>
      <family val="2"/>
    </font>
    <font>
      <sz val="14"/>
      <color rgb="FF1A1A2E"/>
      <name val="Arial"/>
      <family val="2"/>
    </font>
    <font>
      <sz val="14"/>
      <color rgb="FF0000FF"/>
      <name val="Arial"/>
      <family val="2"/>
    </font>
    <font>
      <sz val="14"/>
      <color theme="1"/>
      <name val="Calibri"/>
      <family val="2"/>
      <charset val="1"/>
    </font>
    <font>
      <sz val="12"/>
      <color rgb="FF1A1A2E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E26B10"/>
        <bgColor rgb="FFFF8080"/>
      </patternFill>
    </fill>
    <fill>
      <patternFill patternType="solid">
        <fgColor theme="0"/>
      </patternFill>
    </fill>
    <fill>
      <patternFill patternType="solid">
        <fgColor theme="0"/>
        <bgColor rgb="FF1A1A2E"/>
      </patternFill>
    </fill>
    <fill>
      <patternFill patternType="solid">
        <fgColor theme="9" tint="0.39997558519241921"/>
        <bgColor rgb="FF1A527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1A5276"/>
      </patternFill>
    </fill>
    <fill>
      <patternFill patternType="solid">
        <fgColor theme="4"/>
        <bgColor rgb="FF1A5276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9F9F9"/>
      </patternFill>
    </fill>
    <fill>
      <patternFill patternType="solid">
        <fgColor theme="3" tint="0.79998168889431442"/>
        <bgColor rgb="FF1A1A2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2E4A7A"/>
      </patternFill>
    </fill>
    <fill>
      <patternFill patternType="solid">
        <fgColor theme="4"/>
        <bgColor rgb="FF008080"/>
      </patternFill>
    </fill>
    <fill>
      <patternFill patternType="solid">
        <fgColor theme="5" tint="-0.249977111117893"/>
        <bgColor rgb="FF2E4A7A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FFDAD6"/>
      </patternFill>
    </fill>
    <fill>
      <patternFill patternType="solid">
        <fgColor theme="0"/>
        <bgColor rgb="FFFCE4D6"/>
      </patternFill>
    </fill>
    <fill>
      <patternFill patternType="solid">
        <fgColor theme="9" tint="0.39997558519241921"/>
        <bgColor rgb="FF1A1A2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rgb="FF1A5276"/>
      </patternFill>
    </fill>
  </fills>
  <borders count="6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04">
    <xf numFmtId="0" fontId="0" fillId="0" borderId="0" xfId="0"/>
    <xf numFmtId="9" fontId="0" fillId="0" borderId="0" xfId="0" applyNumberFormat="1"/>
    <xf numFmtId="0" fontId="6" fillId="3" borderId="0" xfId="0" applyFont="1" applyFill="1" applyAlignment="1">
      <alignment horizontal="center" vertical="center"/>
    </xf>
    <xf numFmtId="9" fontId="8" fillId="4" borderId="4" xfId="0" applyNumberFormat="1" applyFont="1" applyFill="1" applyBorder="1" applyAlignment="1">
      <alignment horizontal="center" vertical="center"/>
    </xf>
    <xf numFmtId="168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9" fontId="10" fillId="4" borderId="4" xfId="0" applyNumberFormat="1" applyFont="1" applyFill="1" applyBorder="1" applyAlignment="1">
      <alignment horizontal="center" vertical="center"/>
    </xf>
    <xf numFmtId="168" fontId="10" fillId="4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left" vertical="center"/>
    </xf>
    <xf numFmtId="0" fontId="12" fillId="10" borderId="4" xfId="0" applyFont="1" applyFill="1" applyBorder="1" applyAlignment="1">
      <alignment horizontal="left" vertical="center"/>
    </xf>
    <xf numFmtId="0" fontId="13" fillId="14" borderId="0" xfId="0" applyFont="1" applyFill="1" applyAlignment="1">
      <alignment horizontal="left"/>
    </xf>
    <xf numFmtId="0" fontId="0" fillId="14" borderId="0" xfId="0" applyFill="1" applyAlignment="1">
      <alignment horizontal="left"/>
    </xf>
    <xf numFmtId="0" fontId="0" fillId="14" borderId="0" xfId="0" applyFill="1"/>
    <xf numFmtId="0" fontId="0" fillId="15" borderId="0" xfId="0" applyFill="1" applyAlignment="1">
      <alignment horizontal="left"/>
    </xf>
    <xf numFmtId="0" fontId="3" fillId="16" borderId="4" xfId="0" applyFont="1" applyFill="1" applyBorder="1" applyAlignment="1">
      <alignment horizontal="left" vertical="center"/>
    </xf>
    <xf numFmtId="166" fontId="5" fillId="16" borderId="4" xfId="0" applyNumberFormat="1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0" fontId="0" fillId="19" borderId="0" xfId="0" applyFill="1"/>
    <xf numFmtId="0" fontId="15" fillId="20" borderId="4" xfId="0" applyFont="1" applyFill="1" applyBorder="1" applyAlignment="1">
      <alignment horizontal="left" vertical="center"/>
    </xf>
    <xf numFmtId="0" fontId="15" fillId="20" borderId="4" xfId="0" applyFont="1" applyFill="1" applyBorder="1" applyAlignment="1">
      <alignment horizontal="center" vertical="center"/>
    </xf>
    <xf numFmtId="0" fontId="16" fillId="20" borderId="4" xfId="0" applyFont="1" applyFill="1" applyBorder="1" applyAlignment="1">
      <alignment horizontal="left" vertical="center"/>
    </xf>
    <xf numFmtId="164" fontId="16" fillId="20" borderId="4" xfId="0" applyNumberFormat="1" applyFont="1" applyFill="1" applyBorder="1" applyAlignment="1">
      <alignment horizontal="center" vertical="center"/>
    </xf>
    <xf numFmtId="166" fontId="16" fillId="20" borderId="4" xfId="0" applyNumberFormat="1" applyFont="1" applyFill="1" applyBorder="1" applyAlignment="1">
      <alignment horizontal="center" vertical="center"/>
    </xf>
    <xf numFmtId="0" fontId="16" fillId="20" borderId="4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horizontal="left" vertical="center"/>
    </xf>
    <xf numFmtId="0" fontId="15" fillId="17" borderId="4" xfId="0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left" vertical="center"/>
    </xf>
    <xf numFmtId="164" fontId="16" fillId="17" borderId="4" xfId="0" applyNumberFormat="1" applyFont="1" applyFill="1" applyBorder="1" applyAlignment="1">
      <alignment horizontal="center" vertical="center"/>
    </xf>
    <xf numFmtId="166" fontId="16" fillId="17" borderId="4" xfId="0" applyNumberFormat="1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center" vertical="center"/>
    </xf>
    <xf numFmtId="0" fontId="0" fillId="15" borderId="4" xfId="0" applyFont="1" applyFill="1" applyBorder="1"/>
    <xf numFmtId="0" fontId="7" fillId="22" borderId="0" xfId="0" applyFont="1" applyFill="1" applyAlignment="1">
      <alignment horizontal="center" vertical="center"/>
    </xf>
    <xf numFmtId="0" fontId="0" fillId="13" borderId="0" xfId="0" applyFill="1"/>
    <xf numFmtId="0" fontId="10" fillId="23" borderId="4" xfId="0" applyFont="1" applyFill="1" applyBorder="1" applyAlignment="1">
      <alignment horizontal="center"/>
    </xf>
    <xf numFmtId="0" fontId="0" fillId="24" borderId="4" xfId="0" applyFont="1" applyFill="1" applyBorder="1"/>
    <xf numFmtId="164" fontId="10" fillId="23" borderId="4" xfId="0" applyNumberFormat="1" applyFont="1" applyFill="1" applyBorder="1" applyAlignment="1">
      <alignment horizontal="center"/>
    </xf>
    <xf numFmtId="166" fontId="10" fillId="23" borderId="4" xfId="0" applyNumberFormat="1" applyFont="1" applyFill="1" applyBorder="1" applyAlignment="1">
      <alignment horizontal="center"/>
    </xf>
    <xf numFmtId="0" fontId="10" fillId="21" borderId="4" xfId="0" applyFont="1" applyFill="1" applyBorder="1" applyAlignment="1">
      <alignment horizontal="center" vertical="center"/>
    </xf>
    <xf numFmtId="0" fontId="14" fillId="25" borderId="0" xfId="0" applyFont="1" applyFill="1" applyAlignment="1">
      <alignment horizontal="center" vertical="center"/>
    </xf>
    <xf numFmtId="0" fontId="0" fillId="15" borderId="0" xfId="0" applyFill="1"/>
    <xf numFmtId="0" fontId="15" fillId="26" borderId="4" xfId="0" applyFont="1" applyFill="1" applyBorder="1" applyAlignment="1">
      <alignment horizontal="left" vertical="center"/>
    </xf>
    <xf numFmtId="0" fontId="15" fillId="26" borderId="4" xfId="0" applyFont="1" applyFill="1" applyBorder="1" applyAlignment="1">
      <alignment horizontal="center" vertical="center"/>
    </xf>
    <xf numFmtId="0" fontId="16" fillId="26" borderId="4" xfId="0" applyFont="1" applyFill="1" applyBorder="1" applyAlignment="1">
      <alignment horizontal="left" vertical="center"/>
    </xf>
    <xf numFmtId="164" fontId="16" fillId="26" borderId="4" xfId="0" applyNumberFormat="1" applyFont="1" applyFill="1" applyBorder="1" applyAlignment="1">
      <alignment horizontal="center" vertical="center"/>
    </xf>
    <xf numFmtId="166" fontId="16" fillId="26" borderId="4" xfId="0" applyNumberFormat="1" applyFont="1" applyFill="1" applyBorder="1" applyAlignment="1">
      <alignment horizontal="center" vertical="center"/>
    </xf>
    <xf numFmtId="167" fontId="16" fillId="26" borderId="4" xfId="0" applyNumberFormat="1" applyFont="1" applyFill="1" applyBorder="1" applyAlignment="1">
      <alignment horizontal="center" vertical="center"/>
    </xf>
    <xf numFmtId="0" fontId="16" fillId="26" borderId="4" xfId="0" applyFont="1" applyFill="1" applyBorder="1" applyAlignment="1">
      <alignment horizontal="center" vertical="center"/>
    </xf>
    <xf numFmtId="167" fontId="16" fillId="17" borderId="4" xfId="0" applyNumberFormat="1" applyFont="1" applyFill="1" applyBorder="1" applyAlignment="1">
      <alignment horizontal="center" vertical="center"/>
    </xf>
    <xf numFmtId="0" fontId="10" fillId="25" borderId="4" xfId="0" applyFont="1" applyFill="1" applyBorder="1" applyAlignment="1">
      <alignment horizontal="center"/>
    </xf>
    <xf numFmtId="164" fontId="10" fillId="25" borderId="4" xfId="0" applyNumberFormat="1" applyFont="1" applyFill="1" applyBorder="1" applyAlignment="1">
      <alignment horizontal="center"/>
    </xf>
    <xf numFmtId="166" fontId="10" fillId="25" borderId="4" xfId="0" applyNumberFormat="1" applyFont="1" applyFill="1" applyBorder="1" applyAlignment="1">
      <alignment horizontal="center"/>
    </xf>
    <xf numFmtId="0" fontId="0" fillId="15" borderId="2" xfId="0" applyFill="1" applyBorder="1"/>
    <xf numFmtId="0" fontId="0" fillId="15" borderId="3" xfId="0" applyFill="1" applyBorder="1"/>
    <xf numFmtId="0" fontId="17" fillId="27" borderId="1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6" fillId="2" borderId="5" xfId="0" applyNumberFormat="1" applyFont="1" applyFill="1" applyBorder="1" applyAlignment="1">
      <alignment horizontal="center"/>
    </xf>
    <xf numFmtId="164" fontId="4" fillId="16" borderId="4" xfId="0" applyNumberFormat="1" applyFont="1" applyFill="1" applyBorder="1" applyAlignment="1">
      <alignment horizontal="center" vertical="center"/>
    </xf>
    <xf numFmtId="164" fontId="5" fillId="16" borderId="4" xfId="0" applyNumberFormat="1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left" vertical="center"/>
    </xf>
    <xf numFmtId="164" fontId="4" fillId="20" borderId="4" xfId="0" applyNumberFormat="1" applyFont="1" applyFill="1" applyBorder="1" applyAlignment="1">
      <alignment horizontal="center" vertical="center"/>
    </xf>
    <xf numFmtId="164" fontId="5" fillId="20" borderId="4" xfId="0" applyNumberFormat="1" applyFont="1" applyFill="1" applyBorder="1" applyAlignment="1">
      <alignment horizontal="center" vertical="center"/>
    </xf>
    <xf numFmtId="166" fontId="5" fillId="20" borderId="4" xfId="0" applyNumberFormat="1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left" vertical="center"/>
    </xf>
    <xf numFmtId="164" fontId="4" fillId="26" borderId="4" xfId="0" applyNumberFormat="1" applyFont="1" applyFill="1" applyBorder="1" applyAlignment="1">
      <alignment horizontal="center" vertical="center"/>
    </xf>
    <xf numFmtId="164" fontId="5" fillId="26" borderId="4" xfId="0" applyNumberFormat="1" applyFont="1" applyFill="1" applyBorder="1" applyAlignment="1">
      <alignment horizontal="center" vertical="center"/>
    </xf>
    <xf numFmtId="166" fontId="5" fillId="26" borderId="4" xfId="0" applyNumberFormat="1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 vertical="center"/>
    </xf>
    <xf numFmtId="0" fontId="3" fillId="27" borderId="4" xfId="0" applyFont="1" applyFill="1" applyBorder="1" applyAlignment="1">
      <alignment horizontal="left" vertical="center"/>
    </xf>
    <xf numFmtId="164" fontId="4" fillId="27" borderId="4" xfId="0" applyNumberFormat="1" applyFont="1" applyFill="1" applyBorder="1" applyAlignment="1">
      <alignment horizontal="center" vertical="center"/>
    </xf>
    <xf numFmtId="164" fontId="5" fillId="27" borderId="4" xfId="0" applyNumberFormat="1" applyFont="1" applyFill="1" applyBorder="1" applyAlignment="1">
      <alignment horizontal="center" vertical="center"/>
    </xf>
    <xf numFmtId="166" fontId="5" fillId="27" borderId="4" xfId="0" applyNumberFormat="1" applyFont="1" applyFill="1" applyBorder="1" applyAlignment="1">
      <alignment horizontal="center" vertical="center"/>
    </xf>
    <xf numFmtId="0" fontId="5" fillId="27" borderId="4" xfId="0" applyFont="1" applyFill="1" applyBorder="1" applyAlignment="1">
      <alignment horizontal="center" vertical="center"/>
    </xf>
    <xf numFmtId="0" fontId="0" fillId="29" borderId="4" xfId="0" applyFill="1" applyBorder="1"/>
    <xf numFmtId="0" fontId="14" fillId="28" borderId="4" xfId="0" applyFont="1" applyFill="1" applyBorder="1" applyAlignment="1">
      <alignment horizontal="center" vertical="center"/>
    </xf>
    <xf numFmtId="0" fontId="6" fillId="30" borderId="4" xfId="0" applyFont="1" applyFill="1" applyBorder="1" applyAlignment="1">
      <alignment horizontal="center" vertical="center"/>
    </xf>
    <xf numFmtId="0" fontId="18" fillId="16" borderId="4" xfId="0" applyFont="1" applyFill="1" applyBorder="1" applyAlignment="1">
      <alignment horizontal="left" vertical="center"/>
    </xf>
    <xf numFmtId="0" fontId="19" fillId="16" borderId="4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left" vertical="center"/>
    </xf>
    <xf numFmtId="9" fontId="21" fillId="4" borderId="4" xfId="0" applyNumberFormat="1" applyFont="1" applyFill="1" applyBorder="1" applyAlignment="1">
      <alignment horizontal="center" vertical="center"/>
    </xf>
    <xf numFmtId="166" fontId="20" fillId="16" borderId="4" xfId="0" applyNumberFormat="1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center" vertical="center"/>
    </xf>
    <xf numFmtId="0" fontId="18" fillId="17" borderId="4" xfId="0" applyFont="1" applyFill="1" applyBorder="1" applyAlignment="1">
      <alignment horizontal="left" vertical="center"/>
    </xf>
    <xf numFmtId="0" fontId="19" fillId="17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left" vertical="center"/>
    </xf>
    <xf numFmtId="166" fontId="20" fillId="17" borderId="4" xfId="0" applyNumberFormat="1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/>
    </xf>
    <xf numFmtId="0" fontId="22" fillId="15" borderId="4" xfId="0" applyFont="1" applyFill="1" applyBorder="1"/>
    <xf numFmtId="9" fontId="14" fillId="5" borderId="4" xfId="0" applyNumberFormat="1" applyFont="1" applyFill="1" applyBorder="1" applyAlignment="1">
      <alignment horizontal="center"/>
    </xf>
    <xf numFmtId="166" fontId="14" fillId="5" borderId="4" xfId="0" applyNumberFormat="1" applyFont="1" applyFill="1" applyBorder="1" applyAlignment="1">
      <alignment horizontal="center"/>
    </xf>
    <xf numFmtId="3" fontId="14" fillId="5" borderId="4" xfId="0" applyNumberFormat="1" applyFont="1" applyFill="1" applyBorder="1" applyAlignment="1">
      <alignment horizontal="center"/>
    </xf>
    <xf numFmtId="0" fontId="23" fillId="17" borderId="4" xfId="0" applyFont="1" applyFill="1" applyBorder="1" applyAlignment="1">
      <alignment horizontal="left" vertical="center" wrapText="1"/>
    </xf>
    <xf numFmtId="0" fontId="23" fillId="16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CCCCC"/>
      <rgbColor rgb="FF808080"/>
      <rgbColor rgb="FFAAAAAA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CE4D6"/>
      <rgbColor rgb="FFF9F9F9"/>
      <rgbColor rgb="FFFF99CC"/>
      <rgbColor rgb="FFCC99FF"/>
      <rgbColor rgb="FFFFDAD6"/>
      <rgbColor rgb="FF4472C4"/>
      <rgbColor rgb="FF33CCCC"/>
      <rgbColor rgb="FF99CC00"/>
      <rgbColor rgb="FFFFCC00"/>
      <rgbColor rgb="FFD4AC0D"/>
      <rgbColor rgb="FFE26B10"/>
      <rgbColor rgb="FF4F81BD"/>
      <rgbColor rgb="FF878787"/>
      <rgbColor rgb="FF1A5276"/>
      <rgbColor rgb="FF339966"/>
      <rgbColor rgb="FF0D1B2E"/>
      <rgbColor rgb="FF1A1A2E"/>
      <rgbColor rgb="FF7B3F00"/>
      <rgbColor rgb="FF993366"/>
      <rgbColor rgb="FF2E4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Asset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221901719873666E-2"/>
          <c:y val="0.15898321905425006"/>
          <c:w val="0.64381713110983529"/>
          <c:h val="0.668482423852760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DC-41DD-9D6E-AE447530D4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DC-41DD-9D6E-AE447530D4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DC-41DD-9D6E-AE447530D4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DC-41DD-9D6E-AE447530D41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Portfolio Summary'!$B$45:$B$48</c:f>
              <c:strCache>
                <c:ptCount val="4"/>
                <c:pt idx="0">
                  <c:v>Indian Stocks</c:v>
                </c:pt>
                <c:pt idx="1">
                  <c:v>ETFs</c:v>
                </c:pt>
                <c:pt idx="2">
                  <c:v>Crypto</c:v>
                </c:pt>
                <c:pt idx="3">
                  <c:v>Cash/Liquid</c:v>
                </c:pt>
              </c:strCache>
            </c:strRef>
          </c:cat>
          <c:val>
            <c:numRef>
              <c:f>'📊 Portfolio Summary'!$C$45:$C$48</c:f>
              <c:numCache>
                <c:formatCode>0%</c:formatCode>
                <c:ptCount val="4"/>
                <c:pt idx="0">
                  <c:v>0.55000000000000004</c:v>
                </c:pt>
                <c:pt idx="1">
                  <c:v>0.25</c:v>
                </c:pt>
                <c:pt idx="2">
                  <c:v>0.1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DC-41DD-9D6E-AE447530D41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Stock Allocation (₹)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'🇮🇳 Stocks'!$F$2</c:f>
              <c:strCache>
                <c:ptCount val="1"/>
                <c:pt idx="0">
                  <c:v>Amount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'🇮🇳 Stocks'!$B$3:$B$6</c:f>
              <c:strCache>
                <c:ptCount val="4"/>
                <c:pt idx="0">
                  <c:v>Reliance Industries</c:v>
                </c:pt>
                <c:pt idx="1">
                  <c:v>Infosys</c:v>
                </c:pt>
                <c:pt idx="2">
                  <c:v>HDFC Bank</c:v>
                </c:pt>
                <c:pt idx="3">
                  <c:v>Tata Motors</c:v>
                </c:pt>
              </c:strCache>
            </c:strRef>
          </c:cat>
          <c:val>
            <c:numRef>
              <c:f>'🇮🇳 Stocks'!$F$3:$F$6</c:f>
              <c:numCache>
                <c:formatCode>\₹#,##0</c:formatCode>
                <c:ptCount val="4"/>
                <c:pt idx="0">
                  <c:v>15000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3-434A-9CDA-12C894259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27772"/>
        <c:axId val="41900318"/>
      </c:barChart>
      <c:catAx>
        <c:axId val="350277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Stock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00318"/>
        <c:crosses val="autoZero"/>
        <c:auto val="1"/>
        <c:lblAlgn val="ctr"/>
        <c:lblOffset val="100"/>
        <c:noMultiLvlLbl val="0"/>
      </c:catAx>
      <c:valAx>
        <c:axId val="41900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02777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Projected 1-Year Gain by Holding (₹)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Risk &amp; Return'!$E$2</c:f>
              <c:strCache>
                <c:ptCount val="1"/>
                <c:pt idx="0">
                  <c:v>1-Yr Est. Gain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Risk &amp; Return'!$B$3:$B$12</c:f>
              <c:strCache>
                <c:ptCount val="10"/>
                <c:pt idx="0">
                  <c:v>Reliance Industries</c:v>
                </c:pt>
                <c:pt idx="1">
                  <c:v>Infosys</c:v>
                </c:pt>
                <c:pt idx="2">
                  <c:v>HDFC Bank</c:v>
                </c:pt>
                <c:pt idx="3">
                  <c:v>Tata Motors</c:v>
                </c:pt>
                <c:pt idx="4">
                  <c:v>Nifty 50 BeES</c:v>
                </c:pt>
                <c:pt idx="5">
                  <c:v>FANG+ ETF</c:v>
                </c:pt>
                <c:pt idx="6">
                  <c:v>Kotak Gold ETF</c:v>
                </c:pt>
                <c:pt idx="7">
                  <c:v>Bitcoin (BTC)</c:v>
                </c:pt>
                <c:pt idx="8">
                  <c:v>Ethereum (ETH)</c:v>
                </c:pt>
                <c:pt idx="9">
                  <c:v>Cash / Liquid Fund</c:v>
                </c:pt>
              </c:strCache>
            </c:strRef>
          </c:cat>
          <c:val>
            <c:numRef>
              <c:f>' Risk &amp; Return'!$E$3:$E$12</c:f>
              <c:numCache>
                <c:formatCode>\₹#,##0</c:formatCode>
                <c:ptCount val="10"/>
                <c:pt idx="0">
                  <c:v>2250</c:v>
                </c:pt>
                <c:pt idx="1">
                  <c:v>1680.0000000000002</c:v>
                </c:pt>
                <c:pt idx="2">
                  <c:v>1950</c:v>
                </c:pt>
                <c:pt idx="3">
                  <c:v>2340</c:v>
                </c:pt>
                <c:pt idx="4">
                  <c:v>1200</c:v>
                </c:pt>
                <c:pt idx="5">
                  <c:v>1120</c:v>
                </c:pt>
                <c:pt idx="6">
                  <c:v>700.00000000000011</c:v>
                </c:pt>
                <c:pt idx="7">
                  <c:v>2100</c:v>
                </c:pt>
                <c:pt idx="8">
                  <c:v>750</c:v>
                </c:pt>
                <c:pt idx="9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8-4226-9CF5-41B2ED5D2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78505"/>
        <c:axId val="19823545"/>
      </c:barChart>
      <c:catAx>
        <c:axId val="573785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23545"/>
        <c:crosses val="autoZero"/>
        <c:auto val="1"/>
        <c:lblAlgn val="ctr"/>
        <c:lblOffset val="100"/>
        <c:noMultiLvlLbl val="0"/>
      </c:catAx>
      <c:valAx>
        <c:axId val="198235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37850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591348</xdr:colOff>
      <xdr:row>2</xdr:row>
      <xdr:rowOff>71975</xdr:rowOff>
    </xdr:from>
    <xdr:to>
      <xdr:col>4</xdr:col>
      <xdr:colOff>2174806</xdr:colOff>
      <xdr:row>17</xdr:row>
      <xdr:rowOff>217741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9</xdr:row>
      <xdr:rowOff>166689</xdr:rowOff>
    </xdr:from>
    <xdr:to>
      <xdr:col>8</xdr:col>
      <xdr:colOff>321469</xdr:colOff>
      <xdr:row>33</xdr:row>
      <xdr:rowOff>71439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6</xdr:col>
      <xdr:colOff>38100</xdr:colOff>
      <xdr:row>37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9"/>
  <sheetViews>
    <sheetView tabSelected="1" topLeftCell="A6" zoomScale="79" zoomScaleNormal="100" workbookViewId="0">
      <selection activeCell="G19" sqref="G19"/>
    </sheetView>
  </sheetViews>
  <sheetFormatPr defaultColWidth="8.6640625" defaultRowHeight="14.4" x14ac:dyDescent="0.3"/>
  <cols>
    <col min="1" max="1" width="9.33203125" customWidth="1"/>
    <col min="2" max="2" width="37.21875" customWidth="1"/>
    <col min="3" max="3" width="41.21875" customWidth="1"/>
    <col min="4" max="4" width="33" customWidth="1"/>
    <col min="5" max="5" width="34.88671875" customWidth="1"/>
    <col min="6" max="6" width="30.5546875" customWidth="1"/>
    <col min="7" max="7" width="24.88671875" customWidth="1"/>
    <col min="8" max="8" width="21.5546875" customWidth="1"/>
  </cols>
  <sheetData>
    <row r="1" spans="2:8" ht="49.5" customHeight="1" x14ac:dyDescent="0.5">
      <c r="B1" s="20"/>
      <c r="C1" s="17"/>
      <c r="D1" s="17" t="s">
        <v>90</v>
      </c>
      <c r="E1" s="17"/>
      <c r="F1" s="18"/>
      <c r="G1" s="18"/>
      <c r="H1" s="19"/>
    </row>
    <row r="2" spans="2:8" ht="27.75" customHeight="1" x14ac:dyDescent="0.3"/>
    <row r="3" spans="2:8" ht="21.75" customHeight="1" x14ac:dyDescent="0.3"/>
    <row r="4" spans="2:8" ht="24" customHeight="1" x14ac:dyDescent="0.3"/>
    <row r="5" spans="2:8" ht="18" customHeight="1" x14ac:dyDescent="0.3"/>
    <row r="6" spans="2:8" ht="18" customHeight="1" x14ac:dyDescent="0.3"/>
    <row r="7" spans="2:8" ht="18" customHeight="1" x14ac:dyDescent="0.3"/>
    <row r="8" spans="2:8" ht="18" customHeight="1" x14ac:dyDescent="0.3"/>
    <row r="9" spans="2:8" ht="18" customHeight="1" x14ac:dyDescent="0.3"/>
    <row r="10" spans="2:8" ht="18" customHeight="1" x14ac:dyDescent="0.3"/>
    <row r="11" spans="2:8" ht="18" customHeight="1" x14ac:dyDescent="0.3"/>
    <row r="12" spans="2:8" ht="18" customHeight="1" x14ac:dyDescent="0.3"/>
    <row r="13" spans="2:8" ht="18" customHeight="1" x14ac:dyDescent="0.3"/>
    <row r="14" spans="2:8" ht="18" customHeight="1" x14ac:dyDescent="0.3"/>
    <row r="15" spans="2:8" ht="18" customHeight="1" x14ac:dyDescent="0.3"/>
    <row r="16" spans="2:8" ht="18" customHeight="1" x14ac:dyDescent="0.3"/>
    <row r="17" spans="2:7" ht="18" customHeight="1" x14ac:dyDescent="0.3"/>
    <row r="18" spans="2:7" ht="18" customHeight="1" x14ac:dyDescent="0.3"/>
    <row r="19" spans="2:7" ht="18" customHeight="1" x14ac:dyDescent="0.3"/>
    <row r="20" spans="2:7" ht="18" customHeight="1" x14ac:dyDescent="0.3"/>
    <row r="21" spans="2:7" ht="18" customHeight="1" x14ac:dyDescent="0.3"/>
    <row r="22" spans="2:7" ht="18" customHeight="1" x14ac:dyDescent="0.3"/>
    <row r="23" spans="2:7" ht="18" customHeight="1" x14ac:dyDescent="0.3">
      <c r="B23" s="12" t="s">
        <v>0</v>
      </c>
      <c r="C23" s="12"/>
      <c r="D23" s="12"/>
      <c r="E23" s="12"/>
      <c r="F23" s="12"/>
      <c r="G23" s="12"/>
    </row>
    <row r="24" spans="2:7" ht="18" customHeight="1" x14ac:dyDescent="0.3">
      <c r="B24" s="6" t="s">
        <v>1</v>
      </c>
      <c r="C24" s="6" t="s">
        <v>2</v>
      </c>
      <c r="D24" s="6" t="s">
        <v>3</v>
      </c>
      <c r="E24" s="11" t="s">
        <v>86</v>
      </c>
      <c r="F24" s="6" t="s">
        <v>4</v>
      </c>
      <c r="G24" s="6" t="s">
        <v>5</v>
      </c>
    </row>
    <row r="25" spans="2:7" ht="18" customHeight="1" x14ac:dyDescent="0.3">
      <c r="B25" s="14" t="s">
        <v>88</v>
      </c>
      <c r="C25" s="3">
        <v>0.55000000000000004</v>
      </c>
      <c r="D25" s="4">
        <v>55000</v>
      </c>
      <c r="E25" s="5">
        <v>4</v>
      </c>
      <c r="F25" s="5" t="s">
        <v>6</v>
      </c>
      <c r="G25" s="5" t="s">
        <v>7</v>
      </c>
    </row>
    <row r="26" spans="2:7" ht="18" customHeight="1" x14ac:dyDescent="0.3">
      <c r="B26" s="13" t="s">
        <v>87</v>
      </c>
      <c r="C26" s="3">
        <v>0.25</v>
      </c>
      <c r="D26" s="4">
        <v>25000</v>
      </c>
      <c r="E26" s="5">
        <v>3</v>
      </c>
      <c r="F26" s="5" t="s">
        <v>8</v>
      </c>
      <c r="G26" s="5" t="s">
        <v>9</v>
      </c>
    </row>
    <row r="27" spans="2:7" ht="18" customHeight="1" x14ac:dyDescent="0.3">
      <c r="B27" s="15" t="s">
        <v>17</v>
      </c>
      <c r="C27" s="3">
        <v>0.1</v>
      </c>
      <c r="D27" s="4">
        <v>10000</v>
      </c>
      <c r="E27" s="5">
        <v>2</v>
      </c>
      <c r="F27" s="5" t="s">
        <v>10</v>
      </c>
      <c r="G27" s="5" t="s">
        <v>11</v>
      </c>
    </row>
    <row r="28" spans="2:7" ht="18" customHeight="1" x14ac:dyDescent="0.3">
      <c r="B28" s="16" t="s">
        <v>89</v>
      </c>
      <c r="C28" s="3">
        <v>0.1</v>
      </c>
      <c r="D28" s="4">
        <v>10000</v>
      </c>
      <c r="E28" s="5">
        <v>1</v>
      </c>
      <c r="F28" s="5" t="s">
        <v>12</v>
      </c>
      <c r="G28" s="5" t="s">
        <v>13</v>
      </c>
    </row>
    <row r="29" spans="2:7" ht="18" customHeight="1" x14ac:dyDescent="0.3">
      <c r="B29" s="7" t="s">
        <v>14</v>
      </c>
      <c r="C29" s="8">
        <v>1</v>
      </c>
      <c r="D29" s="9">
        <v>100000</v>
      </c>
      <c r="E29" s="7">
        <v>10</v>
      </c>
      <c r="F29" s="10"/>
      <c r="G29" s="10"/>
    </row>
    <row r="30" spans="2:7" ht="18" customHeight="1" x14ac:dyDescent="0.3"/>
    <row r="31" spans="2:7" ht="18" customHeight="1" x14ac:dyDescent="0.3"/>
    <row r="32" spans="2:7" ht="18" customHeight="1" x14ac:dyDescent="0.3"/>
    <row r="33" spans="2:3" ht="18" customHeight="1" x14ac:dyDescent="0.3"/>
    <row r="34" spans="2:3" ht="18" customHeight="1" x14ac:dyDescent="0.3"/>
    <row r="35" spans="2:3" ht="18" customHeight="1" x14ac:dyDescent="0.3"/>
    <row r="36" spans="2:3" ht="18" customHeight="1" x14ac:dyDescent="0.3"/>
    <row r="37" spans="2:3" ht="18" customHeight="1" x14ac:dyDescent="0.3"/>
    <row r="38" spans="2:3" ht="18" customHeight="1" x14ac:dyDescent="0.3"/>
    <row r="39" spans="2:3" ht="18" customHeight="1" x14ac:dyDescent="0.3"/>
    <row r="40" spans="2:3" ht="18" customHeight="1" x14ac:dyDescent="0.3"/>
    <row r="41" spans="2:3" ht="18" customHeight="1" x14ac:dyDescent="0.3"/>
    <row r="42" spans="2:3" ht="18" customHeight="1" x14ac:dyDescent="0.3"/>
    <row r="43" spans="2:3" ht="18" customHeight="1" x14ac:dyDescent="0.3"/>
    <row r="44" spans="2:3" ht="18" customHeight="1" x14ac:dyDescent="0.3"/>
    <row r="45" spans="2:3" ht="18" customHeight="1" x14ac:dyDescent="0.3">
      <c r="B45" t="s">
        <v>15</v>
      </c>
      <c r="C45" s="1">
        <v>0.55000000000000004</v>
      </c>
    </row>
    <row r="46" spans="2:3" ht="18" customHeight="1" x14ac:dyDescent="0.3">
      <c r="B46" t="s">
        <v>16</v>
      </c>
      <c r="C46" s="1">
        <v>0.25</v>
      </c>
    </row>
    <row r="47" spans="2:3" ht="18" customHeight="1" x14ac:dyDescent="0.3">
      <c r="B47" t="s">
        <v>17</v>
      </c>
      <c r="C47" s="1">
        <v>0.1</v>
      </c>
    </row>
    <row r="48" spans="2:3" ht="18" customHeight="1" x14ac:dyDescent="0.3">
      <c r="B48" t="s">
        <v>18</v>
      </c>
      <c r="C48" s="1">
        <v>0.1</v>
      </c>
    </row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</sheetData>
  <mergeCells count="1">
    <mergeCell ref="B23:G23"/>
  </mergeCells>
  <conditionalFormatting sqref="C25:G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7"/>
  <sheetViews>
    <sheetView zoomScale="64" zoomScaleNormal="100" workbookViewId="0">
      <selection activeCell="I28" sqref="I28"/>
    </sheetView>
  </sheetViews>
  <sheetFormatPr defaultColWidth="8.6640625" defaultRowHeight="14.4" x14ac:dyDescent="0.3"/>
  <cols>
    <col min="1" max="1" width="3" customWidth="1"/>
    <col min="2" max="2" width="39.5546875" customWidth="1"/>
    <col min="3" max="3" width="22.44140625" customWidth="1"/>
    <col min="4" max="4" width="26" customWidth="1"/>
    <col min="5" max="5" width="24.44140625" customWidth="1"/>
    <col min="6" max="6" width="25.21875" customWidth="1"/>
    <col min="7" max="7" width="25" customWidth="1"/>
    <col min="8" max="8" width="41.109375" customWidth="1"/>
    <col min="9" max="9" width="60.6640625" customWidth="1"/>
  </cols>
  <sheetData>
    <row r="1" spans="2:9" ht="36" customHeight="1" x14ac:dyDescent="0.3">
      <c r="B1" s="25" t="s">
        <v>19</v>
      </c>
      <c r="C1" s="26"/>
      <c r="D1" s="26"/>
      <c r="E1" s="26"/>
      <c r="F1" s="26"/>
      <c r="G1" s="26"/>
      <c r="H1" s="26"/>
      <c r="I1" s="26"/>
    </row>
    <row r="2" spans="2:9" ht="15" customHeight="1" x14ac:dyDescent="0.3">
      <c r="B2" s="24" t="s">
        <v>20</v>
      </c>
      <c r="C2" s="24" t="s">
        <v>21</v>
      </c>
      <c r="D2" s="24" t="s">
        <v>22</v>
      </c>
      <c r="E2" s="24" t="s">
        <v>2</v>
      </c>
      <c r="F2" s="24" t="s">
        <v>3</v>
      </c>
      <c r="G2" s="24" t="s">
        <v>23</v>
      </c>
      <c r="H2" s="24" t="s">
        <v>24</v>
      </c>
      <c r="I2" s="24" t="s">
        <v>25</v>
      </c>
    </row>
    <row r="3" spans="2:9" ht="48" customHeight="1" x14ac:dyDescent="0.3">
      <c r="B3" s="86" t="s">
        <v>26</v>
      </c>
      <c r="C3" s="87" t="s">
        <v>27</v>
      </c>
      <c r="D3" s="88" t="s">
        <v>28</v>
      </c>
      <c r="E3" s="89">
        <v>0.15</v>
      </c>
      <c r="F3" s="90">
        <v>15000</v>
      </c>
      <c r="G3" s="90">
        <v>2920</v>
      </c>
      <c r="H3" s="91">
        <f>FLOOR(F3/G3,1)</f>
        <v>5</v>
      </c>
      <c r="I3" s="103" t="s">
        <v>29</v>
      </c>
    </row>
    <row r="4" spans="2:9" ht="48" customHeight="1" x14ac:dyDescent="0.3">
      <c r="B4" s="92" t="s">
        <v>30</v>
      </c>
      <c r="C4" s="93" t="s">
        <v>31</v>
      </c>
      <c r="D4" s="94" t="s">
        <v>32</v>
      </c>
      <c r="E4" s="89">
        <v>0.12</v>
      </c>
      <c r="F4" s="95">
        <v>12000</v>
      </c>
      <c r="G4" s="95">
        <v>1560</v>
      </c>
      <c r="H4" s="96">
        <f>FLOOR(F4/G4,1)</f>
        <v>7</v>
      </c>
      <c r="I4" s="102" t="s">
        <v>33</v>
      </c>
    </row>
    <row r="5" spans="2:9" ht="48" customHeight="1" x14ac:dyDescent="0.3">
      <c r="B5" s="86" t="s">
        <v>34</v>
      </c>
      <c r="C5" s="87" t="s">
        <v>35</v>
      </c>
      <c r="D5" s="88" t="s">
        <v>36</v>
      </c>
      <c r="E5" s="89">
        <v>0.15</v>
      </c>
      <c r="F5" s="90">
        <v>15000</v>
      </c>
      <c r="G5" s="90">
        <v>1730</v>
      </c>
      <c r="H5" s="91">
        <f>FLOOR(F5/G5,1)</f>
        <v>8</v>
      </c>
      <c r="I5" s="103" t="s">
        <v>37</v>
      </c>
    </row>
    <row r="6" spans="2:9" ht="48" customHeight="1" x14ac:dyDescent="0.3">
      <c r="B6" s="92" t="s">
        <v>38</v>
      </c>
      <c r="C6" s="93" t="s">
        <v>39</v>
      </c>
      <c r="D6" s="94" t="s">
        <v>40</v>
      </c>
      <c r="E6" s="89">
        <v>0.13</v>
      </c>
      <c r="F6" s="95">
        <v>13000</v>
      </c>
      <c r="G6" s="95">
        <v>980</v>
      </c>
      <c r="H6" s="96">
        <f>FLOOR(F6/G6,1)</f>
        <v>13</v>
      </c>
      <c r="I6" s="102" t="s">
        <v>41</v>
      </c>
    </row>
    <row r="7" spans="2:9" ht="15" customHeight="1" x14ac:dyDescent="0.35">
      <c r="B7" s="97" t="s">
        <v>42</v>
      </c>
      <c r="C7" s="98"/>
      <c r="D7" s="98"/>
      <c r="E7" s="99">
        <v>0.55000000000000004</v>
      </c>
      <c r="F7" s="100">
        <f>SUM(F3:F6)</f>
        <v>55000</v>
      </c>
      <c r="G7" s="98"/>
      <c r="H7" s="101">
        <f>SUM(H3:H6)</f>
        <v>33</v>
      </c>
      <c r="I7" s="98"/>
    </row>
  </sheetData>
  <mergeCells count="1">
    <mergeCell ref="B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6"/>
  <sheetViews>
    <sheetView zoomScaleNormal="100" workbookViewId="0">
      <selection activeCell="D20" sqref="D20"/>
    </sheetView>
  </sheetViews>
  <sheetFormatPr defaultColWidth="8.6640625" defaultRowHeight="14.4" x14ac:dyDescent="0.3"/>
  <cols>
    <col min="1" max="1" width="3" customWidth="1"/>
    <col min="2" max="2" width="38.44140625" customWidth="1"/>
    <col min="3" max="3" width="14" customWidth="1"/>
    <col min="4" max="4" width="26" customWidth="1"/>
    <col min="5" max="5" width="24.44140625" customWidth="1"/>
    <col min="6" max="6" width="16" customWidth="1"/>
    <col min="7" max="7" width="28.33203125" customWidth="1"/>
    <col min="8" max="8" width="32" customWidth="1"/>
    <col min="9" max="9" width="21.44140625" customWidth="1"/>
  </cols>
  <sheetData>
    <row r="1" spans="2:8" ht="36" customHeight="1" x14ac:dyDescent="0.3">
      <c r="B1" s="40" t="s">
        <v>43</v>
      </c>
      <c r="C1" s="41"/>
      <c r="D1" s="41"/>
      <c r="E1" s="41"/>
      <c r="F1" s="41"/>
      <c r="G1" s="41"/>
      <c r="H1" s="41"/>
    </row>
    <row r="2" spans="2:8" ht="15" customHeight="1" x14ac:dyDescent="0.3">
      <c r="B2" s="46" t="s">
        <v>44</v>
      </c>
      <c r="C2" s="46" t="s">
        <v>21</v>
      </c>
      <c r="D2" s="46" t="s">
        <v>45</v>
      </c>
      <c r="E2" s="46" t="s">
        <v>2</v>
      </c>
      <c r="F2" s="46" t="s">
        <v>3</v>
      </c>
      <c r="G2" s="46" t="s">
        <v>46</v>
      </c>
      <c r="H2" s="46" t="s">
        <v>24</v>
      </c>
    </row>
    <row r="3" spans="2:8" ht="39.75" customHeight="1" x14ac:dyDescent="0.3">
      <c r="B3" s="27" t="s">
        <v>47</v>
      </c>
      <c r="C3" s="28" t="s">
        <v>48</v>
      </c>
      <c r="D3" s="29" t="s">
        <v>49</v>
      </c>
      <c r="E3" s="30">
        <v>0.1</v>
      </c>
      <c r="F3" s="31">
        <v>10000</v>
      </c>
      <c r="G3" s="31">
        <v>248</v>
      </c>
      <c r="H3" s="32">
        <f>FLOOR(F3/G3,1)</f>
        <v>40</v>
      </c>
    </row>
    <row r="4" spans="2:8" ht="39.75" customHeight="1" x14ac:dyDescent="0.3">
      <c r="B4" s="33" t="s">
        <v>50</v>
      </c>
      <c r="C4" s="34" t="s">
        <v>51</v>
      </c>
      <c r="D4" s="35" t="s">
        <v>52</v>
      </c>
      <c r="E4" s="36">
        <v>0.08</v>
      </c>
      <c r="F4" s="37">
        <v>8000</v>
      </c>
      <c r="G4" s="37">
        <v>93</v>
      </c>
      <c r="H4" s="38">
        <f>FLOOR(F4/G4,1)</f>
        <v>86</v>
      </c>
    </row>
    <row r="5" spans="2:8" ht="39.75" customHeight="1" x14ac:dyDescent="0.3">
      <c r="B5" s="27" t="s">
        <v>53</v>
      </c>
      <c r="C5" s="28" t="s">
        <v>54</v>
      </c>
      <c r="D5" s="29" t="s">
        <v>55</v>
      </c>
      <c r="E5" s="30">
        <v>7.0000000000000007E-2</v>
      </c>
      <c r="F5" s="31">
        <v>7000</v>
      </c>
      <c r="G5" s="31">
        <v>62</v>
      </c>
      <c r="H5" s="32">
        <f>FLOOR(F5/G5,1)</f>
        <v>112</v>
      </c>
    </row>
    <row r="6" spans="2:8" ht="15" customHeight="1" x14ac:dyDescent="0.3">
      <c r="B6" s="42" t="s">
        <v>56</v>
      </c>
      <c r="C6" s="43"/>
      <c r="D6" s="43"/>
      <c r="E6" s="44">
        <f>SUM(E3:E5)</f>
        <v>0.25</v>
      </c>
      <c r="F6" s="45">
        <f>SUM(F3:F5)</f>
        <v>25000</v>
      </c>
      <c r="G6" s="39"/>
      <c r="H6" s="39"/>
    </row>
  </sheetData>
  <mergeCells count="1">
    <mergeCell ref="B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9"/>
  <sheetViews>
    <sheetView zoomScale="85" zoomScaleNormal="100" workbookViewId="0">
      <selection activeCell="D23" sqref="D23"/>
    </sheetView>
  </sheetViews>
  <sheetFormatPr defaultColWidth="8.6640625" defaultRowHeight="14.4" x14ac:dyDescent="0.3"/>
  <cols>
    <col min="1" max="1" width="3" customWidth="1"/>
    <col min="2" max="2" width="32.77734375" customWidth="1"/>
    <col min="3" max="3" width="26.21875" customWidth="1"/>
    <col min="4" max="4" width="42.88671875" customWidth="1"/>
    <col min="5" max="5" width="18" customWidth="1"/>
    <col min="6" max="6" width="29" customWidth="1"/>
    <col min="7" max="7" width="27.5546875" customWidth="1"/>
    <col min="8" max="8" width="36" customWidth="1"/>
  </cols>
  <sheetData>
    <row r="1" spans="2:8" ht="36" customHeight="1" x14ac:dyDescent="0.3">
      <c r="B1" s="47" t="s">
        <v>91</v>
      </c>
      <c r="C1" s="48"/>
      <c r="D1" s="48"/>
      <c r="E1" s="48"/>
      <c r="F1" s="48"/>
      <c r="G1" s="48"/>
      <c r="H1" s="48"/>
    </row>
    <row r="2" spans="2:8" ht="15" customHeight="1" x14ac:dyDescent="0.3">
      <c r="B2" s="2" t="s">
        <v>17</v>
      </c>
      <c r="C2" s="2" t="s">
        <v>57</v>
      </c>
      <c r="D2" s="2" t="s">
        <v>45</v>
      </c>
      <c r="E2" s="2" t="s">
        <v>2</v>
      </c>
      <c r="F2" s="2" t="s">
        <v>3</v>
      </c>
      <c r="G2" s="2" t="s">
        <v>58</v>
      </c>
      <c r="H2" s="2" t="s">
        <v>59</v>
      </c>
    </row>
    <row r="3" spans="2:8" ht="51.75" customHeight="1" x14ac:dyDescent="0.3">
      <c r="B3" s="49" t="s">
        <v>60</v>
      </c>
      <c r="C3" s="50" t="s">
        <v>61</v>
      </c>
      <c r="D3" s="51" t="s">
        <v>62</v>
      </c>
      <c r="E3" s="52">
        <v>7.0000000000000007E-2</v>
      </c>
      <c r="F3" s="53">
        <v>7000</v>
      </c>
      <c r="G3" s="54">
        <v>68000</v>
      </c>
      <c r="H3" s="55" t="s">
        <v>63</v>
      </c>
    </row>
    <row r="4" spans="2:8" ht="51.75" customHeight="1" x14ac:dyDescent="0.3">
      <c r="B4" s="33" t="s">
        <v>64</v>
      </c>
      <c r="C4" s="34" t="s">
        <v>65</v>
      </c>
      <c r="D4" s="35" t="s">
        <v>66</v>
      </c>
      <c r="E4" s="36">
        <v>0.03</v>
      </c>
      <c r="F4" s="37">
        <v>3000</v>
      </c>
      <c r="G4" s="56">
        <v>3800</v>
      </c>
      <c r="H4" s="38" t="s">
        <v>63</v>
      </c>
    </row>
    <row r="5" spans="2:8" ht="15" customHeight="1" x14ac:dyDescent="0.3">
      <c r="B5" s="57" t="s">
        <v>67</v>
      </c>
      <c r="C5" s="39"/>
      <c r="D5" s="39"/>
      <c r="E5" s="58">
        <f>SUM(E3:E4)</f>
        <v>0.1</v>
      </c>
      <c r="F5" s="59">
        <f>SUM(F3:F4)</f>
        <v>10000</v>
      </c>
      <c r="G5" s="39"/>
      <c r="H5" s="39"/>
    </row>
    <row r="7" spans="2:8" ht="15" customHeight="1" x14ac:dyDescent="0.3">
      <c r="B7" s="62" t="s">
        <v>92</v>
      </c>
      <c r="C7" s="60"/>
      <c r="D7" s="60"/>
      <c r="E7" s="60"/>
      <c r="F7" s="60"/>
      <c r="G7" s="60"/>
      <c r="H7" s="60"/>
    </row>
    <row r="8" spans="2:8" ht="15" customHeight="1" x14ac:dyDescent="0.3">
      <c r="B8" s="61"/>
      <c r="C8" s="48"/>
      <c r="D8" s="48"/>
      <c r="E8" s="48"/>
      <c r="F8" s="48"/>
      <c r="G8" s="48"/>
      <c r="H8" s="48"/>
    </row>
    <row r="9" spans="2:8" ht="15" customHeight="1" x14ac:dyDescent="0.3">
      <c r="B9" s="61"/>
      <c r="C9" s="48"/>
      <c r="D9" s="48"/>
      <c r="E9" s="48"/>
      <c r="F9" s="48"/>
      <c r="G9" s="48"/>
      <c r="H9" s="48"/>
    </row>
  </sheetData>
  <mergeCells count="2">
    <mergeCell ref="B1:H1"/>
    <mergeCell ref="B7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3"/>
  <sheetViews>
    <sheetView zoomScaleNormal="100" workbookViewId="0">
      <selection activeCell="K6" sqref="K6"/>
    </sheetView>
  </sheetViews>
  <sheetFormatPr defaultColWidth="8.6640625" defaultRowHeight="14.4" x14ac:dyDescent="0.3"/>
  <cols>
    <col min="1" max="1" width="3" customWidth="1"/>
    <col min="2" max="2" width="26" customWidth="1"/>
    <col min="3" max="3" width="23.88671875" customWidth="1"/>
    <col min="4" max="4" width="24.6640625" customWidth="1"/>
    <col min="5" max="5" width="22.77734375" customWidth="1"/>
    <col min="6" max="6" width="26.6640625" customWidth="1"/>
    <col min="7" max="7" width="27.44140625" customWidth="1"/>
  </cols>
  <sheetData>
    <row r="1" spans="2:7" ht="36" customHeight="1" x14ac:dyDescent="0.3">
      <c r="B1" s="84" t="s">
        <v>68</v>
      </c>
      <c r="C1" s="83"/>
      <c r="D1" s="83"/>
      <c r="E1" s="83"/>
      <c r="F1" s="83"/>
      <c r="G1" s="83"/>
    </row>
    <row r="2" spans="2:7" ht="15" customHeight="1" x14ac:dyDescent="0.3">
      <c r="B2" s="85" t="s">
        <v>69</v>
      </c>
      <c r="C2" s="85" t="s">
        <v>2</v>
      </c>
      <c r="D2" s="85" t="s">
        <v>70</v>
      </c>
      <c r="E2" s="85" t="s">
        <v>71</v>
      </c>
      <c r="F2" s="85" t="s">
        <v>4</v>
      </c>
      <c r="G2" s="85" t="s">
        <v>72</v>
      </c>
    </row>
    <row r="3" spans="2:7" ht="21.75" customHeight="1" x14ac:dyDescent="0.3">
      <c r="B3" s="21" t="s">
        <v>26</v>
      </c>
      <c r="C3" s="66">
        <v>0.15</v>
      </c>
      <c r="D3" s="67">
        <v>0.15</v>
      </c>
      <c r="E3" s="22">
        <f t="shared" ref="E3:E12" si="0">C3*100000*D3</f>
        <v>2250</v>
      </c>
      <c r="F3" s="23" t="s">
        <v>73</v>
      </c>
      <c r="G3" s="23" t="s">
        <v>74</v>
      </c>
    </row>
    <row r="4" spans="2:7" ht="21.75" customHeight="1" x14ac:dyDescent="0.3">
      <c r="B4" s="21" t="s">
        <v>30</v>
      </c>
      <c r="C4" s="66">
        <v>0.12</v>
      </c>
      <c r="D4" s="67">
        <v>0.14000000000000001</v>
      </c>
      <c r="E4" s="22">
        <f t="shared" si="0"/>
        <v>1680.0000000000002</v>
      </c>
      <c r="F4" s="23" t="s">
        <v>73</v>
      </c>
      <c r="G4" s="23" t="s">
        <v>74</v>
      </c>
    </row>
    <row r="5" spans="2:7" ht="21.75" customHeight="1" x14ac:dyDescent="0.3">
      <c r="B5" s="68" t="s">
        <v>34</v>
      </c>
      <c r="C5" s="69">
        <v>0.15</v>
      </c>
      <c r="D5" s="70">
        <v>0.13</v>
      </c>
      <c r="E5" s="71">
        <f t="shared" si="0"/>
        <v>1950</v>
      </c>
      <c r="F5" s="72" t="s">
        <v>75</v>
      </c>
      <c r="G5" s="72" t="s">
        <v>74</v>
      </c>
    </row>
    <row r="6" spans="2:7" ht="21.75" customHeight="1" x14ac:dyDescent="0.3">
      <c r="B6" s="73" t="s">
        <v>38</v>
      </c>
      <c r="C6" s="74">
        <v>0.13</v>
      </c>
      <c r="D6" s="75">
        <v>0.18</v>
      </c>
      <c r="E6" s="76">
        <f t="shared" si="0"/>
        <v>2340</v>
      </c>
      <c r="F6" s="77" t="s">
        <v>76</v>
      </c>
      <c r="G6" s="77" t="s">
        <v>74</v>
      </c>
    </row>
    <row r="7" spans="2:7" ht="21.75" customHeight="1" x14ac:dyDescent="0.3">
      <c r="B7" s="68" t="s">
        <v>77</v>
      </c>
      <c r="C7" s="69">
        <v>0.1</v>
      </c>
      <c r="D7" s="70">
        <v>0.12</v>
      </c>
      <c r="E7" s="71">
        <f t="shared" si="0"/>
        <v>1200</v>
      </c>
      <c r="F7" s="72" t="s">
        <v>75</v>
      </c>
      <c r="G7" s="72" t="s">
        <v>74</v>
      </c>
    </row>
    <row r="8" spans="2:7" ht="21.75" customHeight="1" x14ac:dyDescent="0.3">
      <c r="B8" s="21" t="s">
        <v>78</v>
      </c>
      <c r="C8" s="66">
        <v>0.08</v>
      </c>
      <c r="D8" s="67">
        <v>0.14000000000000001</v>
      </c>
      <c r="E8" s="22">
        <f t="shared" si="0"/>
        <v>1120</v>
      </c>
      <c r="F8" s="23" t="s">
        <v>73</v>
      </c>
      <c r="G8" s="23" t="s">
        <v>74</v>
      </c>
    </row>
    <row r="9" spans="2:7" ht="21.75" customHeight="1" x14ac:dyDescent="0.3">
      <c r="B9" s="68" t="s">
        <v>53</v>
      </c>
      <c r="C9" s="69">
        <v>7.0000000000000007E-2</v>
      </c>
      <c r="D9" s="70">
        <v>0.1</v>
      </c>
      <c r="E9" s="71">
        <f t="shared" si="0"/>
        <v>700.00000000000011</v>
      </c>
      <c r="F9" s="72" t="s">
        <v>79</v>
      </c>
      <c r="G9" s="72" t="s">
        <v>74</v>
      </c>
    </row>
    <row r="10" spans="2:7" ht="21.75" customHeight="1" x14ac:dyDescent="0.3">
      <c r="B10" s="78" t="s">
        <v>80</v>
      </c>
      <c r="C10" s="79">
        <v>7.0000000000000007E-2</v>
      </c>
      <c r="D10" s="80">
        <v>0.3</v>
      </c>
      <c r="E10" s="81">
        <f t="shared" si="0"/>
        <v>2100</v>
      </c>
      <c r="F10" s="82" t="s">
        <v>10</v>
      </c>
      <c r="G10" s="82" t="s">
        <v>81</v>
      </c>
    </row>
    <row r="11" spans="2:7" ht="21.75" customHeight="1" x14ac:dyDescent="0.3">
      <c r="B11" s="78" t="s">
        <v>82</v>
      </c>
      <c r="C11" s="79">
        <v>0.03</v>
      </c>
      <c r="D11" s="80">
        <v>0.25</v>
      </c>
      <c r="E11" s="81">
        <f t="shared" si="0"/>
        <v>750</v>
      </c>
      <c r="F11" s="82" t="s">
        <v>10</v>
      </c>
      <c r="G11" s="82" t="s">
        <v>81</v>
      </c>
    </row>
    <row r="12" spans="2:7" ht="21.75" customHeight="1" x14ac:dyDescent="0.3">
      <c r="B12" s="68" t="s">
        <v>83</v>
      </c>
      <c r="C12" s="69">
        <v>0.1</v>
      </c>
      <c r="D12" s="70">
        <v>6.5000000000000002E-2</v>
      </c>
      <c r="E12" s="71">
        <f t="shared" si="0"/>
        <v>650</v>
      </c>
      <c r="F12" s="72" t="s">
        <v>12</v>
      </c>
      <c r="G12" s="72" t="s">
        <v>84</v>
      </c>
    </row>
    <row r="13" spans="2:7" ht="15" customHeight="1" x14ac:dyDescent="0.3">
      <c r="B13" s="63" t="s">
        <v>85</v>
      </c>
      <c r="C13" s="64">
        <f>SUM(C3:C12)</f>
        <v>1.0000000000000002</v>
      </c>
      <c r="D13" s="64">
        <f>SUMPRODUCT(C3:C12,D3:D12)</f>
        <v>0.14740000000000003</v>
      </c>
      <c r="E13" s="65">
        <f>SUM(E3:E12)</f>
        <v>14740</v>
      </c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Portfolio Summary</vt:lpstr>
      <vt:lpstr>🇮🇳 Stocks</vt:lpstr>
      <vt:lpstr> ETFs</vt:lpstr>
      <vt:lpstr>Crypto</vt:lpstr>
      <vt:lpstr> Risk &amp; 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shaurya tandon</cp:lastModifiedBy>
  <cp:revision>1</cp:revision>
  <dcterms:created xsi:type="dcterms:W3CDTF">2026-06-01T10:22:53Z</dcterms:created>
  <dcterms:modified xsi:type="dcterms:W3CDTF">2026-06-03T10:24:38Z</dcterms:modified>
  <dc:language>en-US</dc:language>
</cp:coreProperties>
</file>